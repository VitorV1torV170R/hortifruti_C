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DEV\"/>
    </mc:Choice>
  </mc:AlternateContent>
  <xr:revisionPtr revIDLastSave="0" documentId="13_ncr:1_{2CBA47B2-32C5-428E-84E9-B133C89AB220}" xr6:coauthVersionLast="47" xr6:coauthVersionMax="47" xr10:uidLastSave="{00000000-0000-0000-0000-000000000000}"/>
  <bookViews>
    <workbookView xWindow="-120" yWindow="-120" windowWidth="20730" windowHeight="11040" xr2:uid="{78FDD0C7-A330-401F-9B27-620A34422418}"/>
  </bookViews>
  <sheets>
    <sheet name="Planilha1" sheetId="1" r:id="rId1"/>
    <sheet name="Dados" sheetId="2" r:id="rId2"/>
  </sheets>
  <definedNames>
    <definedName name="_xleta.N" hidden="1" xlm="1">#NAME?</definedName>
    <definedName name="_xleta.NA" hidden="1" xlm="1">#NAME?</definedName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3" i="1"/>
</calcChain>
</file>

<file path=xl/sharedStrings.xml><?xml version="1.0" encoding="utf-8"?>
<sst xmlns="http://schemas.openxmlformats.org/spreadsheetml/2006/main" count="7" uniqueCount="7">
  <si>
    <t>Companhia Area</t>
  </si>
  <si>
    <t>Tarifa</t>
  </si>
  <si>
    <t xml:space="preserve">Peso </t>
  </si>
  <si>
    <t xml:space="preserve">Cambio </t>
  </si>
  <si>
    <t>AWB</t>
  </si>
  <si>
    <t>Modelo de pré invoince</t>
  </si>
  <si>
    <t>Cambio2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</si>
</sst>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8" fontId="0" fillId="0" borderId="1" xfId="0" applyNumberForma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7BE9-E495-44F5-AC85-977E64494807}">
  <sheetPr codeName="Planilha1"/>
  <dimension ref="A1:G20"/>
  <sheetViews>
    <sheetView tabSelected="1" workbookViewId="0">
      <selection activeCell="G3" sqref="G3"/>
    </sheetView>
  </sheetViews>
  <sheetFormatPr defaultRowHeight="15" x14ac:dyDescent="0.25"/>
  <cols>
    <col min="1" max="2" width="15.85546875" bestFit="1" customWidth="1"/>
    <col min="3" max="3" width="10.7109375" bestFit="1" customWidth="1"/>
    <col min="7" max="7" width="15.42578125" bestFit="1" customWidth="1"/>
  </cols>
  <sheetData>
    <row r="1" spans="1:7" x14ac:dyDescent="0.25">
      <c r="A1" s="5" t="s">
        <v>5</v>
      </c>
      <c r="B1" s="5"/>
      <c r="C1" s="5"/>
      <c r="D1" s="5"/>
      <c r="E1" s="5"/>
    </row>
    <row r="2" spans="1:7" x14ac:dyDescent="0.25">
      <c r="A2" s="3" t="s">
        <v>0</v>
      </c>
      <c r="B2" s="4" t="s">
        <v>4</v>
      </c>
      <c r="C2" s="3" t="s">
        <v>1</v>
      </c>
      <c r="D2" s="3" t="s">
        <v>2</v>
      </c>
      <c r="E2" s="3" t="s">
        <v>3</v>
      </c>
      <c r="F2" s="6" t="s">
        <v>6</v>
      </c>
    </row>
    <row r="3" spans="1:7" x14ac:dyDescent="0.25">
      <c r="A3" s="1">
        <v>266</v>
      </c>
      <c r="B3" s="1">
        <v>98486844</v>
      </c>
      <c r="C3" s="2">
        <v>850.79</v>
      </c>
      <c r="D3" s="1">
        <v>150</v>
      </c>
      <c r="E3" s="1">
        <v>5.7945000000000002</v>
      </c>
      <c r="F3" s="1" t="e">
        <f>VLOOKUP(B3,Dados!$B$3:$E$20,4,FALSE)</f>
        <v>#N/A</v>
      </c>
      <c r="G3" t="str">
        <f>IF(ISNA(F3),"Não encontrado","Ok")</f>
        <v>Não encontrado</v>
      </c>
    </row>
    <row r="4" spans="1:7" x14ac:dyDescent="0.25">
      <c r="A4" s="1">
        <v>144</v>
      </c>
      <c r="B4" s="1">
        <v>78873438</v>
      </c>
      <c r="C4" s="2">
        <v>992</v>
      </c>
      <c r="D4" s="1">
        <v>684</v>
      </c>
      <c r="E4" s="1">
        <v>5.6845999999999997</v>
      </c>
      <c r="F4" s="1">
        <f>VLOOKUP(B4,Dados!$B$3:$E$20,4,FALSE)</f>
        <v>5.6845999999999997</v>
      </c>
      <c r="G4" t="str">
        <f t="shared" ref="G4:G20" si="0">IF(ISNA(F4),"Não encontrado","Ok")</f>
        <v>Ok</v>
      </c>
    </row>
    <row r="5" spans="1:7" x14ac:dyDescent="0.25">
      <c r="A5" s="1">
        <v>763</v>
      </c>
      <c r="B5" s="1">
        <v>88468403</v>
      </c>
      <c r="C5" s="2">
        <v>654.67999999999995</v>
      </c>
      <c r="D5" s="1">
        <v>186</v>
      </c>
      <c r="E5" s="1">
        <v>6.6859999999999999</v>
      </c>
      <c r="F5" s="1" t="e">
        <f>VLOOKUP(B5,Dados!$B$3:$E$20,4,FALSE)</f>
        <v>#N/A</v>
      </c>
      <c r="G5" t="str">
        <f t="shared" si="0"/>
        <v>Não encontrado</v>
      </c>
    </row>
    <row r="6" spans="1:7" x14ac:dyDescent="0.25">
      <c r="A6" s="1">
        <v>888</v>
      </c>
      <c r="B6" s="1">
        <v>68546846</v>
      </c>
      <c r="C6" s="2">
        <v>636.38</v>
      </c>
      <c r="D6" s="1">
        <v>376</v>
      </c>
      <c r="E6" s="1">
        <v>6.9462999999999999</v>
      </c>
      <c r="F6" s="1">
        <f>VLOOKUP(B6,Dados!$B$3:$E$20,4,FALSE)</f>
        <v>6.9462999999999999</v>
      </c>
      <c r="G6" t="str">
        <f t="shared" si="0"/>
        <v>Ok</v>
      </c>
    </row>
    <row r="7" spans="1:7" x14ac:dyDescent="0.25">
      <c r="A7" s="1">
        <v>113</v>
      </c>
      <c r="B7" s="1">
        <v>63537625</v>
      </c>
      <c r="C7" s="2">
        <v>538.32500000000005</v>
      </c>
      <c r="D7" s="1">
        <v>394</v>
      </c>
      <c r="E7" s="1">
        <v>7.3921999999999999</v>
      </c>
      <c r="F7" s="1" t="e">
        <f>VLOOKUP(B7,Dados!$B$3:$E$20,4,FALSE)</f>
        <v>#N/A</v>
      </c>
      <c r="G7" t="str">
        <f t="shared" si="0"/>
        <v>Não encontrado</v>
      </c>
    </row>
    <row r="8" spans="1:7" x14ac:dyDescent="0.25">
      <c r="A8" s="1">
        <v>138</v>
      </c>
      <c r="B8" s="1">
        <v>55515122</v>
      </c>
      <c r="C8" s="2">
        <v>440.27</v>
      </c>
      <c r="D8" s="1">
        <v>412</v>
      </c>
      <c r="E8" s="1">
        <v>7.8380000000000001</v>
      </c>
      <c r="F8" s="1">
        <f>VLOOKUP(B8,Dados!$B$3:$E$20,4,FALSE)</f>
        <v>7.8380000000000001</v>
      </c>
      <c r="G8" t="str">
        <f t="shared" si="0"/>
        <v>Ok</v>
      </c>
    </row>
    <row r="9" spans="1:7" x14ac:dyDescent="0.25">
      <c r="A9" s="1">
        <v>335</v>
      </c>
      <c r="B9" s="1">
        <v>47492619</v>
      </c>
      <c r="C9" s="2">
        <v>342.21499999999997</v>
      </c>
      <c r="D9" s="1">
        <v>430</v>
      </c>
      <c r="E9" s="1">
        <v>8.2836999999999996</v>
      </c>
      <c r="F9" s="1" t="e">
        <f>VLOOKUP(B9,Dados!$B$3:$E$20,4,FALSE)</f>
        <v>#N/A</v>
      </c>
      <c r="G9" t="str">
        <f t="shared" si="0"/>
        <v>Não encontrado</v>
      </c>
    </row>
    <row r="10" spans="1:7" x14ac:dyDescent="0.25">
      <c r="A10" s="1">
        <v>882</v>
      </c>
      <c r="B10" s="1">
        <v>39470116</v>
      </c>
      <c r="C10" s="2">
        <v>244.16</v>
      </c>
      <c r="D10" s="1">
        <v>448</v>
      </c>
      <c r="E10" s="1">
        <v>8.7233000000000001</v>
      </c>
      <c r="F10" s="1">
        <f>VLOOKUP(B10,Dados!$B$3:$E$20,4,FALSE)</f>
        <v>8.7233000000000001</v>
      </c>
      <c r="G10" t="str">
        <f t="shared" si="0"/>
        <v>Ok</v>
      </c>
    </row>
    <row r="11" spans="1:7" x14ac:dyDescent="0.25">
      <c r="A11" s="1">
        <v>213</v>
      </c>
      <c r="B11" s="1">
        <v>31447619</v>
      </c>
      <c r="C11" s="2">
        <v>146.10499999999999</v>
      </c>
      <c r="D11" s="1">
        <v>466</v>
      </c>
      <c r="E11" s="1">
        <v>9.1752000000000002</v>
      </c>
      <c r="F11" s="1" t="e">
        <f>VLOOKUP(B11,Dados!$B$3:$E$20,4,FALSE)</f>
        <v>#N/A</v>
      </c>
      <c r="G11" t="str">
        <f t="shared" si="0"/>
        <v>Não encontrado</v>
      </c>
    </row>
    <row r="12" spans="1:7" x14ac:dyDescent="0.25">
      <c r="A12" s="1">
        <v>279</v>
      </c>
      <c r="B12" s="1">
        <v>23425111</v>
      </c>
      <c r="C12" s="2">
        <v>48.049999999999798</v>
      </c>
      <c r="D12" s="1">
        <v>484</v>
      </c>
      <c r="E12" s="1">
        <v>9.6210000000000004</v>
      </c>
      <c r="F12" s="1">
        <f>VLOOKUP(B12,Dados!$B$3:$E$20,4,FALSE)</f>
        <v>9.6210000000000004</v>
      </c>
      <c r="G12" t="str">
        <f t="shared" si="0"/>
        <v>Ok</v>
      </c>
    </row>
    <row r="13" spans="1:7" x14ac:dyDescent="0.25">
      <c r="A13" s="1">
        <v>265</v>
      </c>
      <c r="B13" s="1">
        <v>15402601</v>
      </c>
      <c r="C13" s="2">
        <v>898</v>
      </c>
      <c r="D13" s="1">
        <v>502</v>
      </c>
      <c r="E13" s="1">
        <v>10.0661</v>
      </c>
      <c r="F13" s="1" t="e">
        <f>VLOOKUP(B13,Dados!$B$3:$E$20,4,FALSE)</f>
        <v>#N/A</v>
      </c>
      <c r="G13" t="str">
        <f t="shared" si="0"/>
        <v>Não encontrado</v>
      </c>
    </row>
    <row r="14" spans="1:7" x14ac:dyDescent="0.25">
      <c r="A14" s="1">
        <v>876</v>
      </c>
      <c r="B14" s="1">
        <v>73801052</v>
      </c>
      <c r="C14" s="2">
        <v>1205</v>
      </c>
      <c r="D14" s="1">
        <v>520</v>
      </c>
      <c r="E14" s="1">
        <v>10.512499999999999</v>
      </c>
      <c r="F14" s="1">
        <f>VLOOKUP(B14,Dados!$B$3:$E$20,4,FALSE)</f>
        <v>10.512499999999999</v>
      </c>
      <c r="G14" t="str">
        <f t="shared" si="0"/>
        <v>Ok</v>
      </c>
    </row>
    <row r="15" spans="1:7" x14ac:dyDescent="0.25">
      <c r="A15" s="1">
        <v>312</v>
      </c>
      <c r="B15" s="1">
        <v>64239999</v>
      </c>
      <c r="C15" s="2">
        <v>3304</v>
      </c>
      <c r="D15" s="1">
        <v>538</v>
      </c>
      <c r="E15" s="1">
        <v>10.9582</v>
      </c>
      <c r="F15" s="1" t="e">
        <f>VLOOKUP(B15,Dados!$B$3:$E$20,4,FALSE)</f>
        <v>#N/A</v>
      </c>
      <c r="G15" t="str">
        <f t="shared" si="0"/>
        <v>Não encontrado</v>
      </c>
    </row>
    <row r="16" spans="1:7" x14ac:dyDescent="0.25">
      <c r="A16" s="1">
        <v>333</v>
      </c>
      <c r="B16" s="1">
        <v>86624900</v>
      </c>
      <c r="C16" s="2">
        <v>3844</v>
      </c>
      <c r="D16" s="1">
        <v>556</v>
      </c>
      <c r="E16" s="1">
        <v>11.404400000000001</v>
      </c>
      <c r="F16" s="1">
        <f>VLOOKUP(B16,Dados!$B$3:$E$20,4,FALSE)</f>
        <v>11.404400000000001</v>
      </c>
      <c r="G16" t="str">
        <f t="shared" si="0"/>
        <v>Ok</v>
      </c>
    </row>
    <row r="17" spans="1:7" x14ac:dyDescent="0.25">
      <c r="A17" s="1">
        <v>365</v>
      </c>
      <c r="B17" s="1">
        <v>45668740</v>
      </c>
      <c r="C17" s="2">
        <v>213</v>
      </c>
      <c r="D17" s="1">
        <v>574</v>
      </c>
      <c r="E17" s="1">
        <v>11.8497</v>
      </c>
      <c r="F17" s="1">
        <f>VLOOKUP(B17,Dados!$B$3:$E$20,4,FALSE)</f>
        <v>11.8497</v>
      </c>
      <c r="G17" t="str">
        <f t="shared" si="0"/>
        <v>Ok</v>
      </c>
    </row>
    <row r="18" spans="1:7" x14ac:dyDescent="0.25">
      <c r="A18" s="1">
        <v>370</v>
      </c>
      <c r="B18" s="1">
        <v>72470990</v>
      </c>
      <c r="C18" s="2">
        <v>4384</v>
      </c>
      <c r="D18" s="1">
        <v>592</v>
      </c>
      <c r="E18" s="1">
        <v>12.295400000000001</v>
      </c>
      <c r="F18" s="1">
        <f>VLOOKUP(B18,Dados!$B$3:$E$20,4,FALSE)</f>
        <v>12.295400000000001</v>
      </c>
      <c r="G18" t="str">
        <f t="shared" si="0"/>
        <v>Ok</v>
      </c>
    </row>
    <row r="19" spans="1:7" x14ac:dyDescent="0.25">
      <c r="A19" s="1">
        <v>411</v>
      </c>
      <c r="B19" s="1">
        <v>32732409</v>
      </c>
      <c r="C19" s="2">
        <v>5465</v>
      </c>
      <c r="D19" s="1">
        <v>610</v>
      </c>
      <c r="E19" s="1">
        <v>12.741199999999999</v>
      </c>
      <c r="F19" s="1" t="e">
        <f>VLOOKUP(B19,Dados!$B$3:$E$20,4,FALSE)</f>
        <v>#N/A</v>
      </c>
      <c r="G19" t="str">
        <f t="shared" si="0"/>
        <v>Não encontrado</v>
      </c>
    </row>
    <row r="20" spans="1:7" x14ac:dyDescent="0.25">
      <c r="A20" s="1">
        <v>436</v>
      </c>
      <c r="B20" s="1">
        <v>40754912</v>
      </c>
      <c r="C20" s="2">
        <v>2135</v>
      </c>
      <c r="D20" s="1">
        <v>628</v>
      </c>
      <c r="E20" s="1">
        <v>13.1873</v>
      </c>
      <c r="F20" s="1">
        <f>VLOOKUP(B20,Dados!$B$3:$E$20,4,FALSE)</f>
        <v>13.1873</v>
      </c>
      <c r="G20" t="str">
        <f t="shared" si="0"/>
        <v>Ok</v>
      </c>
    </row>
  </sheetData>
  <mergeCells count="1">
    <mergeCell ref="A1:E1"/>
  </mergeCells>
  <phoneticPr fontId="2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59446-DE29-4A72-8243-283758B5F358}">
  <sheetPr codeName="Planilha2"/>
  <dimension ref="A3:E20"/>
  <sheetViews>
    <sheetView workbookViewId="0">
      <selection activeCell="E3" sqref="E3"/>
    </sheetView>
  </sheetViews>
  <sheetFormatPr defaultRowHeight="15" x14ac:dyDescent="0.25"/>
  <sheetData>
    <row r="3" spans="1:5" x14ac:dyDescent="0.25">
      <c r="A3">
        <v>266</v>
      </c>
      <c r="B3">
        <v>98486854</v>
      </c>
      <c r="C3">
        <v>850.79</v>
      </c>
      <c r="D3">
        <v>150</v>
      </c>
      <c r="E3">
        <v>5.7945000000000002</v>
      </c>
    </row>
    <row r="4" spans="1:5" x14ac:dyDescent="0.25">
      <c r="A4">
        <v>144</v>
      </c>
      <c r="B4">
        <v>78873438</v>
      </c>
      <c r="C4">
        <v>992</v>
      </c>
      <c r="D4">
        <v>684</v>
      </c>
      <c r="E4">
        <v>5.6845999999999997</v>
      </c>
    </row>
    <row r="5" spans="1:5" x14ac:dyDescent="0.25">
      <c r="A5">
        <v>763</v>
      </c>
      <c r="B5">
        <v>88668403</v>
      </c>
      <c r="C5">
        <v>654.67999999999995</v>
      </c>
      <c r="D5">
        <v>186</v>
      </c>
      <c r="E5">
        <v>6.6859999999999999</v>
      </c>
    </row>
    <row r="6" spans="1:5" x14ac:dyDescent="0.25">
      <c r="A6">
        <v>888</v>
      </c>
      <c r="B6">
        <v>68546846</v>
      </c>
      <c r="C6">
        <v>636.38</v>
      </c>
      <c r="D6">
        <v>376</v>
      </c>
      <c r="E6">
        <v>6.9462999999999999</v>
      </c>
    </row>
    <row r="7" spans="1:5" x14ac:dyDescent="0.25">
      <c r="A7">
        <v>113</v>
      </c>
      <c r="B7">
        <v>63539625</v>
      </c>
      <c r="C7">
        <v>538.32500000000005</v>
      </c>
      <c r="D7">
        <v>394</v>
      </c>
      <c r="E7">
        <v>7.3921999999999999</v>
      </c>
    </row>
    <row r="8" spans="1:5" x14ac:dyDescent="0.25">
      <c r="A8">
        <v>138</v>
      </c>
      <c r="B8">
        <v>55515122</v>
      </c>
      <c r="C8">
        <v>440.27</v>
      </c>
      <c r="D8">
        <v>412</v>
      </c>
      <c r="E8">
        <v>7.8380000000000001</v>
      </c>
    </row>
    <row r="9" spans="1:5" x14ac:dyDescent="0.25">
      <c r="A9">
        <v>335</v>
      </c>
      <c r="B9">
        <v>47472619</v>
      </c>
      <c r="C9">
        <v>342.21499999999997</v>
      </c>
      <c r="D9">
        <v>430</v>
      </c>
      <c r="E9">
        <v>8.2836999999999996</v>
      </c>
    </row>
    <row r="10" spans="1:5" x14ac:dyDescent="0.25">
      <c r="A10">
        <v>882</v>
      </c>
      <c r="B10">
        <v>39470116</v>
      </c>
      <c r="C10">
        <v>244.16</v>
      </c>
      <c r="D10">
        <v>448</v>
      </c>
      <c r="E10">
        <v>8.7233000000000001</v>
      </c>
    </row>
    <row r="11" spans="1:5" x14ac:dyDescent="0.25">
      <c r="A11">
        <v>213</v>
      </c>
      <c r="B11">
        <v>31447819</v>
      </c>
      <c r="C11">
        <v>146.10499999999999</v>
      </c>
      <c r="D11">
        <v>466</v>
      </c>
      <c r="E11">
        <v>9.1752000000000002</v>
      </c>
    </row>
    <row r="12" spans="1:5" x14ac:dyDescent="0.25">
      <c r="A12">
        <v>279</v>
      </c>
      <c r="B12">
        <v>23425111</v>
      </c>
      <c r="C12">
        <v>48.049999999999798</v>
      </c>
      <c r="D12">
        <v>484</v>
      </c>
      <c r="E12">
        <v>9.6210000000000004</v>
      </c>
    </row>
    <row r="13" spans="1:5" x14ac:dyDescent="0.25">
      <c r="A13">
        <v>265</v>
      </c>
      <c r="B13">
        <v>15406601</v>
      </c>
      <c r="C13">
        <v>898</v>
      </c>
      <c r="D13">
        <v>502</v>
      </c>
      <c r="E13">
        <v>10.0661</v>
      </c>
    </row>
    <row r="14" spans="1:5" x14ac:dyDescent="0.25">
      <c r="A14">
        <v>876</v>
      </c>
      <c r="B14">
        <v>73801052</v>
      </c>
      <c r="C14">
        <v>1205</v>
      </c>
      <c r="D14">
        <v>520</v>
      </c>
      <c r="E14">
        <v>10.512499999999999</v>
      </c>
    </row>
    <row r="15" spans="1:5" x14ac:dyDescent="0.25">
      <c r="A15">
        <v>312</v>
      </c>
      <c r="B15">
        <v>64439999</v>
      </c>
      <c r="C15">
        <v>3304</v>
      </c>
      <c r="D15">
        <v>538</v>
      </c>
      <c r="E15">
        <v>10.9582</v>
      </c>
    </row>
    <row r="16" spans="1:5" x14ac:dyDescent="0.25">
      <c r="A16">
        <v>333</v>
      </c>
      <c r="B16">
        <v>86624900</v>
      </c>
      <c r="C16">
        <v>3844</v>
      </c>
      <c r="D16">
        <v>556</v>
      </c>
      <c r="E16">
        <v>11.404400000000001</v>
      </c>
    </row>
    <row r="17" spans="1:5" x14ac:dyDescent="0.25">
      <c r="A17">
        <v>365</v>
      </c>
      <c r="B17">
        <v>45668740</v>
      </c>
      <c r="C17">
        <v>213</v>
      </c>
      <c r="D17">
        <v>574</v>
      </c>
      <c r="E17">
        <v>11.8497</v>
      </c>
    </row>
    <row r="18" spans="1:5" x14ac:dyDescent="0.25">
      <c r="A18">
        <v>370</v>
      </c>
      <c r="B18">
        <v>72470990</v>
      </c>
      <c r="C18">
        <v>4384</v>
      </c>
      <c r="D18">
        <v>592</v>
      </c>
      <c r="E18">
        <v>12.295400000000001</v>
      </c>
    </row>
    <row r="19" spans="1:5" x14ac:dyDescent="0.25">
      <c r="A19">
        <v>411</v>
      </c>
      <c r="B19">
        <v>32762409</v>
      </c>
      <c r="C19">
        <v>5465</v>
      </c>
      <c r="D19">
        <v>610</v>
      </c>
      <c r="E19">
        <v>12.741199999999999</v>
      </c>
    </row>
    <row r="20" spans="1:5" x14ac:dyDescent="0.25">
      <c r="A20">
        <v>436</v>
      </c>
      <c r="B20">
        <v>40754912</v>
      </c>
      <c r="C20">
        <v>2135</v>
      </c>
      <c r="D20">
        <v>628</v>
      </c>
      <c r="E20">
        <v>13.1873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Belinda florez</dc:creator>
  <cp:lastModifiedBy>Belinda florez</cp:lastModifiedBy>
  <dcterms:created xsi:type="dcterms:W3CDTF">2024-11-04T14:12:14Z</dcterms:created>
  <dcterms:modified xsi:type="dcterms:W3CDTF">2024-11-05T20:11:15Z</dcterms:modified>
</cp:coreProperties>
</file>