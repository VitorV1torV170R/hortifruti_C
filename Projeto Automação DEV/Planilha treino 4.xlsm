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DEV\"/>
    </mc:Choice>
  </mc:AlternateContent>
  <xr:revisionPtr revIDLastSave="0" documentId="13_ncr:1_{C600716B-EB1E-4093-A79D-D0BA47A903D5}" xr6:coauthVersionLast="47" xr6:coauthVersionMax="47" xr10:uidLastSave="{00000000-0000-0000-0000-000000000000}"/>
  <bookViews>
    <workbookView xWindow="-120" yWindow="-120" windowWidth="20730" windowHeight="11040" xr2:uid="{841404F7-6E64-404E-819F-5006599055DD}"/>
  </bookViews>
  <sheets>
    <sheet name="Planilha1" sheetId="1" r:id="rId1"/>
    <sheet name="Dad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" i="1" l="1"/>
  <c r="G30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" i="1"/>
</calcChain>
</file>

<file path=xl/sharedStrings.xml><?xml version="1.0" encoding="utf-8"?>
<sst xmlns="http://schemas.openxmlformats.org/spreadsheetml/2006/main" count="7" uniqueCount="7">
  <si>
    <t>Companhia Area</t>
  </si>
  <si>
    <t>AWB</t>
  </si>
  <si>
    <t>Tarifa</t>
  </si>
  <si>
    <t xml:space="preserve">Peso </t>
  </si>
  <si>
    <t xml:space="preserve">Cambio </t>
  </si>
  <si>
    <t>Modelo de pré invoince</t>
  </si>
  <si>
    <t>Cambio2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</si>
</sst>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R$&quot;\ #,##0.00;[Red]\-&quot;R$&quot;\ #,##0.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8" fontId="0" fillId="0" borderId="1" xfId="0" applyNumberFormat="1" applyBorder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vertical="top"/>
    </xf>
    <xf numFmtId="0" fontId="1" fillId="0" borderId="2" xfId="0" applyFont="1" applyBorder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555F9-60E2-4956-9CC2-6C1200F5B225}">
  <sheetPr codeName="Planilha1"/>
  <dimension ref="A1:S30"/>
  <sheetViews>
    <sheetView tabSelected="1" workbookViewId="0">
      <selection activeCell="K26" sqref="K26"/>
    </sheetView>
  </sheetViews>
  <sheetFormatPr defaultRowHeight="15" x14ac:dyDescent="0.25"/>
  <cols>
    <col min="1" max="1" width="15.85546875" bestFit="1" customWidth="1"/>
    <col min="2" max="2" width="10" bestFit="1" customWidth="1"/>
    <col min="3" max="3" width="10.7109375" bestFit="1" customWidth="1"/>
  </cols>
  <sheetData>
    <row r="1" spans="1:19" ht="15" customHeight="1" x14ac:dyDescent="0.25">
      <c r="A1" s="10" t="s">
        <v>5</v>
      </c>
      <c r="B1" s="10"/>
      <c r="C1" s="10"/>
      <c r="D1" s="10"/>
      <c r="E1" s="10"/>
      <c r="F1" s="10"/>
      <c r="K1" s="3"/>
      <c r="L1" s="4"/>
      <c r="M1" s="4"/>
      <c r="N1" s="4"/>
      <c r="O1" s="4"/>
      <c r="P1" s="4"/>
      <c r="Q1" s="4"/>
      <c r="R1" s="4"/>
      <c r="S1" s="4"/>
    </row>
    <row r="2" spans="1:19" s="7" customFormat="1" x14ac:dyDescent="0.25">
      <c r="A2" s="5" t="s">
        <v>0</v>
      </c>
      <c r="B2" s="6" t="s">
        <v>1</v>
      </c>
      <c r="C2" s="5" t="s">
        <v>2</v>
      </c>
      <c r="D2" s="5" t="s">
        <v>3</v>
      </c>
      <c r="E2" s="5" t="s">
        <v>4</v>
      </c>
      <c r="F2" s="9" t="s">
        <v>6</v>
      </c>
      <c r="K2" s="8"/>
      <c r="L2" s="8"/>
      <c r="M2" s="8"/>
      <c r="N2" s="8"/>
      <c r="O2" s="8"/>
      <c r="P2" s="8"/>
      <c r="Q2" s="8"/>
      <c r="R2" s="8"/>
      <c r="S2" s="8"/>
    </row>
    <row r="3" spans="1:19" x14ac:dyDescent="0.25">
      <c r="A3" s="1">
        <v>312</v>
      </c>
      <c r="B3" s="1">
        <v>54684655</v>
      </c>
      <c r="C3" s="2">
        <v>5092.00952380952</v>
      </c>
      <c r="D3" s="1">
        <v>664</v>
      </c>
      <c r="E3" s="1">
        <v>6.1597999999999997</v>
      </c>
      <c r="F3" s="1" t="e">
        <f>VLOOKUP(B4,Dados!$B$3:$E$30,4,FALSE)</f>
        <v>#N/A</v>
      </c>
      <c r="G3" t="str">
        <f>IF(ISNA(F3),"Não encontrado","Ok")</f>
        <v>Não encontrado</v>
      </c>
      <c r="K3" s="4"/>
      <c r="L3" s="4"/>
      <c r="M3" s="4"/>
      <c r="N3" s="4"/>
      <c r="O3" s="4"/>
      <c r="P3" s="4"/>
      <c r="Q3" s="4"/>
      <c r="R3" s="4"/>
      <c r="S3" s="4"/>
    </row>
    <row r="4" spans="1:19" x14ac:dyDescent="0.25">
      <c r="A4" s="1">
        <v>333</v>
      </c>
      <c r="B4" s="1">
        <v>68879877</v>
      </c>
      <c r="C4" s="2">
        <v>5183.1238095238105</v>
      </c>
      <c r="D4" s="1">
        <v>682</v>
      </c>
      <c r="E4" s="1">
        <v>7.8468</v>
      </c>
      <c r="F4" s="1">
        <f>VLOOKUP(B5,Dados!$B$3:$E$30,4,FALSE)</f>
        <v>3.6465000000000001</v>
      </c>
      <c r="G4" t="str">
        <f t="shared" ref="G4:G30" si="0">IF(ISNA(F4),"Não encontrado","Ok")</f>
        <v>Ok</v>
      </c>
      <c r="K4" s="4"/>
      <c r="L4" s="4"/>
      <c r="M4" s="4"/>
      <c r="N4" s="4"/>
      <c r="O4" s="4"/>
      <c r="P4" s="4"/>
      <c r="Q4" s="4"/>
      <c r="R4" s="4"/>
      <c r="S4" s="4"/>
    </row>
    <row r="5" spans="1:19" x14ac:dyDescent="0.25">
      <c r="A5" s="1">
        <v>365</v>
      </c>
      <c r="B5" s="1">
        <v>49846516</v>
      </c>
      <c r="C5" s="2">
        <v>5274.2380952381</v>
      </c>
      <c r="D5" s="1">
        <v>700</v>
      </c>
      <c r="E5" s="1">
        <v>3.6465000000000001</v>
      </c>
      <c r="F5" s="1" t="e">
        <f>VLOOKUP(B6,Dados!$B$3:$E$30,4,FALSE)</f>
        <v>#N/A</v>
      </c>
      <c r="G5" t="str">
        <f t="shared" si="0"/>
        <v>Não encontrado</v>
      </c>
      <c r="K5" s="4"/>
      <c r="L5" s="4"/>
      <c r="M5" s="4"/>
      <c r="N5" s="4"/>
      <c r="O5" s="4"/>
      <c r="P5" s="4"/>
      <c r="Q5" s="4"/>
      <c r="R5" s="4"/>
      <c r="S5" s="4"/>
    </row>
    <row r="6" spans="1:19" x14ac:dyDescent="0.25">
      <c r="A6" s="1">
        <v>370</v>
      </c>
      <c r="B6" s="1">
        <v>65787984</v>
      </c>
      <c r="C6" s="2">
        <v>5365.3523809523804</v>
      </c>
      <c r="D6" s="1">
        <v>718</v>
      </c>
      <c r="E6" s="1">
        <v>9.4687000000000001</v>
      </c>
      <c r="F6" s="1">
        <f>VLOOKUP(B7,Dados!$B$3:$E$30,4,FALSE)</f>
        <v>8.2132000000000005</v>
      </c>
      <c r="G6" t="str">
        <f t="shared" si="0"/>
        <v>Ok</v>
      </c>
      <c r="K6" s="4"/>
      <c r="L6" s="4"/>
      <c r="M6" s="4"/>
      <c r="N6" s="4"/>
      <c r="O6" s="4"/>
      <c r="P6" s="4"/>
      <c r="Q6" s="4"/>
      <c r="R6" s="4"/>
      <c r="S6" s="4"/>
    </row>
    <row r="7" spans="1:19" x14ac:dyDescent="0.25">
      <c r="A7" s="1">
        <v>411</v>
      </c>
      <c r="B7" s="1">
        <v>54684686</v>
      </c>
      <c r="C7" s="2">
        <v>5456.4666666666699</v>
      </c>
      <c r="D7" s="1">
        <v>736</v>
      </c>
      <c r="E7" s="1">
        <v>8.2132000000000005</v>
      </c>
      <c r="F7" s="1" t="e">
        <f>VLOOKUP(B8,Dados!$B$3:$E$30,4,FALSE)</f>
        <v>#N/A</v>
      </c>
      <c r="G7" t="str">
        <f t="shared" si="0"/>
        <v>Não encontrado</v>
      </c>
      <c r="K7" s="4"/>
      <c r="L7" s="4"/>
      <c r="M7" s="4"/>
      <c r="N7" s="4"/>
      <c r="O7" s="4"/>
      <c r="P7" s="4"/>
      <c r="Q7" s="4"/>
      <c r="R7" s="4"/>
      <c r="S7" s="4"/>
    </row>
    <row r="8" spans="1:19" x14ac:dyDescent="0.25">
      <c r="A8" s="1">
        <v>436</v>
      </c>
      <c r="B8" s="1">
        <v>22135468</v>
      </c>
      <c r="C8" s="2">
        <v>5547.5809523809703</v>
      </c>
      <c r="D8" s="1">
        <v>754</v>
      </c>
      <c r="E8" s="1">
        <v>8.7845999999999993</v>
      </c>
      <c r="F8" s="1">
        <f>VLOOKUP(B9,Dados!$B$3:$E$30,4,FALSE)</f>
        <v>9.3573000000000004</v>
      </c>
      <c r="G8" t="str">
        <f t="shared" si="0"/>
        <v>Ok</v>
      </c>
      <c r="K8" s="4"/>
      <c r="L8" s="4"/>
      <c r="M8" s="4"/>
      <c r="N8" s="4"/>
      <c r="O8" s="4"/>
      <c r="P8" s="4"/>
      <c r="Q8" s="4"/>
      <c r="R8" s="4"/>
      <c r="S8" s="4"/>
    </row>
    <row r="9" spans="1:19" x14ac:dyDescent="0.25">
      <c r="A9" s="1">
        <v>457</v>
      </c>
      <c r="B9" s="1">
        <v>65684877</v>
      </c>
      <c r="C9" s="2">
        <v>5638.6952380952598</v>
      </c>
      <c r="D9" s="1">
        <v>772</v>
      </c>
      <c r="E9" s="1">
        <v>9.3573000000000004</v>
      </c>
      <c r="F9" s="1" t="e">
        <f>VLOOKUP(B10,Dados!$B$3:$E$30,4,FALSE)</f>
        <v>#N/A</v>
      </c>
      <c r="G9" t="str">
        <f t="shared" si="0"/>
        <v>Não encontrado</v>
      </c>
      <c r="K9" s="4"/>
      <c r="L9" s="4"/>
      <c r="M9" s="4"/>
      <c r="N9" s="4"/>
      <c r="O9" s="4"/>
      <c r="P9" s="4"/>
      <c r="Q9" s="4"/>
      <c r="R9" s="4"/>
      <c r="S9" s="4"/>
    </row>
    <row r="10" spans="1:19" x14ac:dyDescent="0.25">
      <c r="A10" s="1">
        <v>481</v>
      </c>
      <c r="B10" s="1">
        <v>65879843</v>
      </c>
      <c r="C10" s="2">
        <v>5729.8095238095502</v>
      </c>
      <c r="D10" s="1">
        <v>790</v>
      </c>
      <c r="E10" s="1">
        <v>9.9298999999999999</v>
      </c>
      <c r="F10" s="1">
        <f>VLOOKUP(B11,Dados!$B$3:$E$30,4,FALSE)</f>
        <v>10.502599999999999</v>
      </c>
      <c r="G10" t="str">
        <f t="shared" si="0"/>
        <v>Ok</v>
      </c>
      <c r="K10" s="4"/>
      <c r="L10" s="4"/>
      <c r="M10" s="4"/>
      <c r="N10" s="4"/>
      <c r="O10" s="4"/>
      <c r="P10" s="4"/>
      <c r="Q10" s="4"/>
      <c r="R10" s="4"/>
      <c r="S10" s="4"/>
    </row>
    <row r="11" spans="1:19" x14ac:dyDescent="0.25">
      <c r="A11" s="1">
        <v>506</v>
      </c>
      <c r="B11" s="1">
        <v>33548334</v>
      </c>
      <c r="C11" s="2">
        <v>5820.9238095238397</v>
      </c>
      <c r="D11" s="1">
        <v>808</v>
      </c>
      <c r="E11" s="1">
        <v>10.502599999999999</v>
      </c>
      <c r="F11" s="1" t="e">
        <f>VLOOKUP(B12,Dados!$B$3:$E$30,4,FALSE)</f>
        <v>#N/A</v>
      </c>
      <c r="G11" t="str">
        <f t="shared" si="0"/>
        <v>Não encontrado</v>
      </c>
      <c r="K11" s="4"/>
      <c r="L11" s="4"/>
      <c r="M11" s="4"/>
      <c r="N11" s="4"/>
      <c r="O11" s="4"/>
      <c r="P11" s="4"/>
      <c r="Q11" s="4"/>
      <c r="R11" s="4"/>
      <c r="S11" s="4"/>
    </row>
    <row r="12" spans="1:19" x14ac:dyDescent="0.25">
      <c r="A12" s="1">
        <v>530</v>
      </c>
      <c r="B12" s="1">
        <v>98798135</v>
      </c>
      <c r="C12" s="2">
        <v>5912.0380952381302</v>
      </c>
      <c r="D12" s="1">
        <v>826</v>
      </c>
      <c r="E12" s="1">
        <v>11.075200000000001</v>
      </c>
      <c r="F12" s="1">
        <f>VLOOKUP(B13,Dados!$B$3:$E$30,4,FALSE)</f>
        <v>11.6478</v>
      </c>
      <c r="G12" t="str">
        <f t="shared" si="0"/>
        <v>Ok</v>
      </c>
      <c r="K12" s="4"/>
      <c r="L12" s="4"/>
      <c r="M12" s="4"/>
      <c r="N12" s="4"/>
      <c r="O12" s="4"/>
      <c r="P12" s="4"/>
      <c r="Q12" s="4"/>
      <c r="R12" s="4"/>
      <c r="S12" s="4"/>
    </row>
    <row r="13" spans="1:19" x14ac:dyDescent="0.25">
      <c r="A13" s="1">
        <v>555</v>
      </c>
      <c r="B13" s="1">
        <v>68468208</v>
      </c>
      <c r="C13" s="2">
        <v>6003.1523809524197</v>
      </c>
      <c r="D13" s="1">
        <v>844</v>
      </c>
      <c r="E13" s="1">
        <v>11.6478</v>
      </c>
      <c r="F13" s="1" t="e">
        <f>VLOOKUP(B14,Dados!$B$3:$E$30,4,FALSE)</f>
        <v>#N/A</v>
      </c>
      <c r="G13" t="str">
        <f t="shared" si="0"/>
        <v>Não encontrado</v>
      </c>
      <c r="K13" s="4"/>
      <c r="L13" s="4"/>
      <c r="M13" s="4"/>
      <c r="N13" s="4"/>
      <c r="O13" s="4"/>
      <c r="P13" s="4"/>
      <c r="Q13" s="4"/>
      <c r="R13" s="4"/>
      <c r="S13" s="4"/>
    </row>
    <row r="14" spans="1:19" x14ac:dyDescent="0.25">
      <c r="A14" s="1">
        <v>579</v>
      </c>
      <c r="B14" s="1">
        <v>54879877</v>
      </c>
      <c r="C14" s="2">
        <v>6094.2666666667101</v>
      </c>
      <c r="D14" s="1">
        <v>862</v>
      </c>
      <c r="E14" s="1">
        <v>12.220499999999999</v>
      </c>
      <c r="F14" s="1">
        <f>VLOOKUP(B15,Dados!$B$3:$E$30,4,FALSE)</f>
        <v>12.793100000000001</v>
      </c>
      <c r="G14" t="str">
        <f t="shared" si="0"/>
        <v>Ok</v>
      </c>
      <c r="K14" s="4"/>
      <c r="L14" s="4"/>
      <c r="M14" s="4"/>
      <c r="N14" s="4"/>
      <c r="O14" s="4"/>
      <c r="P14" s="4"/>
      <c r="Q14" s="4"/>
      <c r="R14" s="4"/>
      <c r="S14" s="4"/>
    </row>
    <row r="15" spans="1:19" x14ac:dyDescent="0.25">
      <c r="A15" s="1">
        <v>604</v>
      </c>
      <c r="B15" s="1">
        <v>68406846</v>
      </c>
      <c r="C15" s="2">
        <v>6185.3809523810096</v>
      </c>
      <c r="D15" s="1">
        <v>880</v>
      </c>
      <c r="E15" s="1">
        <v>12.793100000000001</v>
      </c>
      <c r="F15" s="1" t="e">
        <f>VLOOKUP(B16,Dados!$B$3:$E$30,4,FALSE)</f>
        <v>#N/A</v>
      </c>
      <c r="G15" t="str">
        <f t="shared" si="0"/>
        <v>Não encontrado</v>
      </c>
      <c r="K15" s="4"/>
      <c r="L15" s="4"/>
      <c r="M15" s="4"/>
      <c r="N15" s="4"/>
      <c r="O15" s="4"/>
      <c r="P15" s="4"/>
      <c r="Q15" s="4"/>
      <c r="R15" s="4"/>
      <c r="S15" s="4"/>
    </row>
    <row r="16" spans="1:19" x14ac:dyDescent="0.25">
      <c r="A16" s="1">
        <v>628</v>
      </c>
      <c r="B16" s="1">
        <v>32654687</v>
      </c>
      <c r="C16" s="2">
        <v>6276.4952380953</v>
      </c>
      <c r="D16" s="1">
        <v>898</v>
      </c>
      <c r="E16" s="1">
        <v>13.3658</v>
      </c>
      <c r="F16" s="1">
        <f>VLOOKUP(B17,Dados!$B$3:$E$30,4,FALSE)</f>
        <v>13.9384</v>
      </c>
      <c r="G16" t="str">
        <f t="shared" si="0"/>
        <v>Ok</v>
      </c>
      <c r="K16" s="4"/>
      <c r="L16" s="4"/>
      <c r="M16" s="4"/>
      <c r="N16" s="4"/>
      <c r="O16" s="4"/>
      <c r="P16" s="4"/>
      <c r="Q16" s="4"/>
      <c r="R16" s="4"/>
      <c r="S16" s="4"/>
    </row>
    <row r="17" spans="1:19" x14ac:dyDescent="0.25">
      <c r="A17" s="1">
        <v>653</v>
      </c>
      <c r="B17" s="1">
        <v>13546879</v>
      </c>
      <c r="C17" s="2">
        <v>6367.6095238095904</v>
      </c>
      <c r="D17" s="1">
        <v>916</v>
      </c>
      <c r="E17" s="1">
        <v>13.9384</v>
      </c>
      <c r="F17" s="1" t="e">
        <f>VLOOKUP(B18,Dados!$B$3:$E$30,4,FALSE)</f>
        <v>#N/A</v>
      </c>
      <c r="G17" t="str">
        <f t="shared" si="0"/>
        <v>Não encontrado</v>
      </c>
      <c r="K17" s="4"/>
      <c r="L17" s="4"/>
      <c r="M17" s="4"/>
      <c r="N17" s="4"/>
      <c r="O17" s="4"/>
      <c r="P17" s="4"/>
      <c r="Q17" s="4"/>
      <c r="R17" s="4"/>
      <c r="S17" s="4"/>
    </row>
    <row r="18" spans="1:19" x14ac:dyDescent="0.25">
      <c r="A18" s="1">
        <v>677</v>
      </c>
      <c r="B18" s="1">
        <v>21354687</v>
      </c>
      <c r="C18" s="2">
        <v>6458.7238095238799</v>
      </c>
      <c r="D18" s="1">
        <v>934</v>
      </c>
      <c r="E18" s="1">
        <v>14.514099999999999</v>
      </c>
      <c r="F18" s="1">
        <f>VLOOKUP(B19,Dados!$B$3:$E$30,4,FALSE)</f>
        <v>15.0837</v>
      </c>
      <c r="G18" t="str">
        <f t="shared" si="0"/>
        <v>Ok</v>
      </c>
      <c r="K18" s="4"/>
      <c r="L18" s="4"/>
      <c r="M18" s="4"/>
      <c r="N18" s="4"/>
      <c r="O18" s="4"/>
      <c r="P18" s="4"/>
      <c r="Q18" s="4"/>
      <c r="R18" s="4"/>
      <c r="S18" s="4"/>
    </row>
    <row r="19" spans="1:19" x14ac:dyDescent="0.25">
      <c r="A19" s="1">
        <v>702</v>
      </c>
      <c r="B19" s="1">
        <v>46846844</v>
      </c>
      <c r="C19" s="2">
        <v>6549.8380952381704</v>
      </c>
      <c r="D19" s="1">
        <v>952</v>
      </c>
      <c r="E19" s="1">
        <v>15.0837</v>
      </c>
      <c r="F19" s="1" t="e">
        <f>VLOOKUP(B20,Dados!$B$3:$E$30,4,FALSE)</f>
        <v>#N/A</v>
      </c>
      <c r="G19" t="str">
        <f t="shared" si="0"/>
        <v>Não encontrado</v>
      </c>
      <c r="K19" s="4"/>
      <c r="L19" s="4"/>
      <c r="M19" s="4"/>
      <c r="N19" s="4"/>
      <c r="O19" s="4"/>
      <c r="P19" s="4"/>
      <c r="Q19" s="4"/>
      <c r="R19" s="4"/>
      <c r="S19" s="4"/>
    </row>
    <row r="20" spans="1:19" x14ac:dyDescent="0.25">
      <c r="A20" s="1">
        <v>727</v>
      </c>
      <c r="B20" s="1">
        <v>32154687</v>
      </c>
      <c r="C20" s="2">
        <v>6640.9523809524599</v>
      </c>
      <c r="D20" s="1">
        <v>970</v>
      </c>
      <c r="E20" s="1">
        <v>15.6563</v>
      </c>
      <c r="F20" s="1">
        <f>VLOOKUP(B21,Dados!$B$3:$E$30,4,FALSE)</f>
        <v>16.227900000000002</v>
      </c>
      <c r="G20" t="str">
        <f t="shared" si="0"/>
        <v>Ok</v>
      </c>
      <c r="K20" s="4"/>
      <c r="L20" s="4"/>
      <c r="M20" s="4"/>
      <c r="N20" s="4"/>
      <c r="O20" s="4"/>
      <c r="P20" s="4"/>
      <c r="Q20" s="4"/>
      <c r="R20" s="4"/>
      <c r="S20" s="4"/>
    </row>
    <row r="21" spans="1:19" x14ac:dyDescent="0.25">
      <c r="A21" s="1">
        <v>751</v>
      </c>
      <c r="B21" s="1">
        <v>13546887</v>
      </c>
      <c r="C21" s="2">
        <v>6732.0666666667503</v>
      </c>
      <c r="D21" s="1">
        <v>988</v>
      </c>
      <c r="E21" s="1">
        <v>16.227900000000002</v>
      </c>
      <c r="F21" s="1" t="e">
        <f>VLOOKUP(B22,Dados!$B$3:$E$30,4,FALSE)</f>
        <v>#N/A</v>
      </c>
      <c r="G21" t="str">
        <f t="shared" si="0"/>
        <v>Não encontrado</v>
      </c>
      <c r="K21" s="4"/>
      <c r="L21" s="4"/>
      <c r="M21" s="4"/>
      <c r="N21" s="4"/>
      <c r="O21" s="4"/>
      <c r="P21" s="4"/>
      <c r="Q21" s="4"/>
      <c r="R21" s="4"/>
      <c r="S21" s="4"/>
    </row>
    <row r="22" spans="1:19" x14ac:dyDescent="0.25">
      <c r="A22" s="1">
        <v>776</v>
      </c>
      <c r="B22" s="1">
        <v>21354879</v>
      </c>
      <c r="C22" s="2">
        <v>6823.1809523810398</v>
      </c>
      <c r="D22" s="1">
        <v>1006</v>
      </c>
      <c r="E22" s="1">
        <v>16.801600000000001</v>
      </c>
      <c r="F22" s="1">
        <f>VLOOKUP(B23,Dados!$B$3:$E$30,4,FALSE)</f>
        <v>17.374199999999998</v>
      </c>
      <c r="G22" t="str">
        <f t="shared" si="0"/>
        <v>Ok</v>
      </c>
      <c r="K22" s="4"/>
      <c r="L22" s="4"/>
      <c r="M22" s="4"/>
      <c r="N22" s="4"/>
      <c r="O22" s="4"/>
      <c r="P22" s="4"/>
      <c r="Q22" s="4"/>
      <c r="R22" s="4"/>
      <c r="S22" s="4"/>
    </row>
    <row r="23" spans="1:19" x14ac:dyDescent="0.25">
      <c r="A23" s="1">
        <v>800</v>
      </c>
      <c r="B23" s="1">
        <v>46213879</v>
      </c>
      <c r="C23" s="2">
        <v>6914.2952380953302</v>
      </c>
      <c r="D23" s="1">
        <v>1024</v>
      </c>
      <c r="E23" s="1">
        <v>17.374199999999998</v>
      </c>
      <c r="F23" s="1" t="e">
        <f>VLOOKUP(B24,Dados!$B$3:$E$30,4,FALSE)</f>
        <v>#N/A</v>
      </c>
      <c r="G23" t="str">
        <f t="shared" si="0"/>
        <v>Não encontrado</v>
      </c>
      <c r="K23" s="4"/>
      <c r="L23" s="4"/>
      <c r="M23" s="4"/>
      <c r="N23" s="4"/>
      <c r="O23" s="4"/>
      <c r="P23" s="4"/>
      <c r="Q23" s="4"/>
      <c r="R23" s="4"/>
      <c r="S23" s="4"/>
    </row>
    <row r="24" spans="1:19" x14ac:dyDescent="0.25">
      <c r="A24" s="1">
        <v>825</v>
      </c>
      <c r="B24" s="1">
        <v>21684687</v>
      </c>
      <c r="C24" s="2">
        <v>7005.4095238096197</v>
      </c>
      <c r="D24" s="1">
        <v>1042</v>
      </c>
      <c r="E24" s="1">
        <v>17.946899999999999</v>
      </c>
      <c r="F24" s="1">
        <f>VLOOKUP(B25,Dados!$B$3:$E$30,4,FALSE)</f>
        <v>18.519500000000001</v>
      </c>
      <c r="G24" t="str">
        <f t="shared" si="0"/>
        <v>Ok</v>
      </c>
      <c r="K24" s="4"/>
      <c r="L24" s="4"/>
      <c r="M24" s="4"/>
      <c r="N24" s="4"/>
      <c r="O24" s="4"/>
      <c r="P24" s="4"/>
      <c r="Q24" s="4"/>
      <c r="R24" s="4"/>
      <c r="S24" s="4"/>
    </row>
    <row r="25" spans="1:19" x14ac:dyDescent="0.25">
      <c r="A25" s="1">
        <v>849</v>
      </c>
      <c r="B25" s="1">
        <v>23213549</v>
      </c>
      <c r="C25" s="2">
        <v>7096.5238095239101</v>
      </c>
      <c r="D25" s="1">
        <v>1060</v>
      </c>
      <c r="E25" s="1">
        <v>18.519500000000001</v>
      </c>
      <c r="F25" s="1" t="e">
        <f>VLOOKUP(B26,Dados!$B$3:$E$30,4,FALSE)</f>
        <v>#N/A</v>
      </c>
      <c r="G25" t="str">
        <f t="shared" si="0"/>
        <v>Não encontrado</v>
      </c>
      <c r="K25" s="4"/>
      <c r="L25" s="4"/>
      <c r="M25" s="4"/>
      <c r="N25" s="4"/>
      <c r="O25" s="4"/>
      <c r="P25" s="4"/>
      <c r="Q25" s="4"/>
      <c r="R25" s="4"/>
      <c r="S25" s="4"/>
    </row>
    <row r="26" spans="1:19" x14ac:dyDescent="0.25">
      <c r="A26" s="1">
        <v>874</v>
      </c>
      <c r="B26" s="1">
        <v>21354687</v>
      </c>
      <c r="C26" s="2">
        <v>7187.6380952381996</v>
      </c>
      <c r="D26" s="1">
        <v>1078</v>
      </c>
      <c r="E26" s="1">
        <v>19.092199999999998</v>
      </c>
      <c r="F26" s="1">
        <f>VLOOKUP(B27,Dados!$B$3:$E$30,4,FALSE)</f>
        <v>19.6648</v>
      </c>
      <c r="G26" t="str">
        <f t="shared" si="0"/>
        <v>Ok</v>
      </c>
      <c r="K26" s="4"/>
      <c r="L26" s="4"/>
      <c r="M26" s="4"/>
      <c r="N26" s="4"/>
      <c r="O26" s="4"/>
      <c r="P26" s="4"/>
      <c r="Q26" s="4"/>
      <c r="R26" s="4"/>
      <c r="S26" s="4"/>
    </row>
    <row r="27" spans="1:19" x14ac:dyDescent="0.25">
      <c r="A27" s="1">
        <v>898</v>
      </c>
      <c r="B27" s="1">
        <v>23154987</v>
      </c>
      <c r="C27" s="2">
        <v>7278.7523809524901</v>
      </c>
      <c r="D27" s="1">
        <v>1096</v>
      </c>
      <c r="E27" s="1">
        <v>19.6648</v>
      </c>
      <c r="F27" s="1" t="e">
        <f>VLOOKUP(B28,Dados!$B$3:$E$30,4,FALSE)</f>
        <v>#N/A</v>
      </c>
      <c r="G27" t="str">
        <f t="shared" si="0"/>
        <v>Não encontrado</v>
      </c>
      <c r="K27" s="4"/>
      <c r="L27" s="4"/>
      <c r="M27" s="4"/>
      <c r="N27" s="4"/>
      <c r="O27" s="4"/>
      <c r="P27" s="4"/>
      <c r="Q27" s="4"/>
      <c r="R27" s="4"/>
      <c r="S27" s="4"/>
    </row>
    <row r="28" spans="1:19" x14ac:dyDescent="0.25">
      <c r="A28" s="1">
        <v>923</v>
      </c>
      <c r="B28" s="1">
        <v>57898463</v>
      </c>
      <c r="C28" s="2">
        <v>7369.8666666667796</v>
      </c>
      <c r="D28" s="1">
        <v>1114</v>
      </c>
      <c r="E28" s="1">
        <v>20.237400000000001</v>
      </c>
      <c r="F28" s="1">
        <f>VLOOKUP(B29,Dados!$B$3:$E$30,4,FALSE)</f>
        <v>20.810099999999998</v>
      </c>
      <c r="G28" t="str">
        <f t="shared" si="0"/>
        <v>Ok</v>
      </c>
      <c r="K28" s="4"/>
      <c r="L28" s="4"/>
      <c r="M28" s="4"/>
      <c r="N28" s="4"/>
      <c r="O28" s="4"/>
      <c r="P28" s="4"/>
      <c r="Q28" s="4"/>
      <c r="R28" s="4"/>
      <c r="S28" s="4"/>
    </row>
    <row r="29" spans="1:19" x14ac:dyDescent="0.25">
      <c r="A29" s="1">
        <v>947</v>
      </c>
      <c r="B29" s="1">
        <v>52468798</v>
      </c>
      <c r="C29" s="2">
        <v>7460.98095238107</v>
      </c>
      <c r="D29" s="1">
        <v>1132</v>
      </c>
      <c r="E29" s="1">
        <v>20.810099999999998</v>
      </c>
      <c r="F29" s="1" t="e">
        <f>VLOOKUP(B30,Dados!$B$3:$E$30,4,FALSE)</f>
        <v>#N/A</v>
      </c>
      <c r="G29" t="str">
        <f t="shared" si="0"/>
        <v>Não encontrado</v>
      </c>
      <c r="K29" s="4"/>
      <c r="L29" s="4"/>
      <c r="M29" s="4"/>
      <c r="N29" s="4"/>
      <c r="O29" s="4"/>
      <c r="P29" s="4"/>
      <c r="Q29" s="4"/>
      <c r="R29" s="4"/>
      <c r="S29" s="4"/>
    </row>
    <row r="30" spans="1:19" x14ac:dyDescent="0.25">
      <c r="A30" s="1">
        <v>972</v>
      </c>
      <c r="B30" s="1">
        <v>21354687</v>
      </c>
      <c r="C30" s="2">
        <v>7552.0952380953604</v>
      </c>
      <c r="D30" s="1">
        <v>1150</v>
      </c>
      <c r="E30" s="1">
        <v>21.3827</v>
      </c>
      <c r="F30" s="1" t="e">
        <f>VLOOKUP(B31,Dados!$B$3:$E$30,4,FALSE)</f>
        <v>#N/A</v>
      </c>
      <c r="G30" t="str">
        <f t="shared" si="0"/>
        <v>Não encontrado</v>
      </c>
    </row>
  </sheetData>
  <mergeCells count="1">
    <mergeCell ref="A1:F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FEEA-6222-49FC-BB95-2FB42A62DA86}">
  <sheetPr codeName="Planilha2"/>
  <dimension ref="A3:E30"/>
  <sheetViews>
    <sheetView workbookViewId="0">
      <selection activeCell="A3" sqref="A3"/>
    </sheetView>
  </sheetViews>
  <sheetFormatPr defaultRowHeight="15" x14ac:dyDescent="0.25"/>
  <sheetData>
    <row r="3" spans="1:5" x14ac:dyDescent="0.25">
      <c r="A3">
        <v>312</v>
      </c>
      <c r="B3">
        <v>54684655</v>
      </c>
      <c r="C3">
        <v>5092.00952380952</v>
      </c>
      <c r="D3">
        <v>664</v>
      </c>
      <c r="E3">
        <v>6.1597999999999997</v>
      </c>
    </row>
    <row r="4" spans="1:5" x14ac:dyDescent="0.25">
      <c r="A4">
        <v>333</v>
      </c>
      <c r="B4">
        <v>58787686</v>
      </c>
      <c r="C4">
        <v>5183.1238095238105</v>
      </c>
      <c r="D4">
        <v>682</v>
      </c>
      <c r="E4">
        <v>7.8468</v>
      </c>
    </row>
    <row r="5" spans="1:5" x14ac:dyDescent="0.25">
      <c r="A5">
        <v>365</v>
      </c>
      <c r="B5">
        <v>49846516</v>
      </c>
      <c r="C5">
        <v>5274.2380952381</v>
      </c>
      <c r="D5">
        <v>700</v>
      </c>
      <c r="E5">
        <v>3.6465000000000001</v>
      </c>
    </row>
    <row r="6" spans="1:5" x14ac:dyDescent="0.25">
      <c r="A6">
        <v>370</v>
      </c>
      <c r="B6">
        <v>54684655</v>
      </c>
      <c r="C6">
        <v>5365.3523809523804</v>
      </c>
      <c r="D6">
        <v>718</v>
      </c>
      <c r="E6">
        <v>9.4687000000000001</v>
      </c>
    </row>
    <row r="7" spans="1:5" x14ac:dyDescent="0.25">
      <c r="A7">
        <v>411</v>
      </c>
      <c r="B7">
        <v>54684686</v>
      </c>
      <c r="C7">
        <v>5456.4666666666699</v>
      </c>
      <c r="D7">
        <v>736</v>
      </c>
      <c r="E7">
        <v>8.2132000000000005</v>
      </c>
    </row>
    <row r="8" spans="1:5" x14ac:dyDescent="0.25">
      <c r="A8">
        <v>436</v>
      </c>
      <c r="B8">
        <v>65876868</v>
      </c>
      <c r="C8">
        <v>5547.5809523809703</v>
      </c>
      <c r="D8">
        <v>754</v>
      </c>
      <c r="E8">
        <v>8.7845999999999993</v>
      </c>
    </row>
    <row r="9" spans="1:5" x14ac:dyDescent="0.25">
      <c r="A9">
        <v>457</v>
      </c>
      <c r="B9">
        <v>65684877</v>
      </c>
      <c r="C9">
        <v>5638.6952380952598</v>
      </c>
      <c r="D9">
        <v>772</v>
      </c>
      <c r="E9">
        <v>9.3573000000000004</v>
      </c>
    </row>
    <row r="10" spans="1:5" x14ac:dyDescent="0.25">
      <c r="A10">
        <v>481</v>
      </c>
      <c r="B10">
        <v>65468487</v>
      </c>
      <c r="C10">
        <v>5729.8095238095502</v>
      </c>
      <c r="D10">
        <v>790</v>
      </c>
      <c r="E10">
        <v>9.9298999999999999</v>
      </c>
    </row>
    <row r="11" spans="1:5" x14ac:dyDescent="0.25">
      <c r="A11">
        <v>506</v>
      </c>
      <c r="B11">
        <v>33548334</v>
      </c>
      <c r="C11">
        <v>5820.9238095238397</v>
      </c>
      <c r="D11">
        <v>808</v>
      </c>
      <c r="E11">
        <v>10.502599999999999</v>
      </c>
    </row>
    <row r="12" spans="1:5" x14ac:dyDescent="0.25">
      <c r="A12">
        <v>530</v>
      </c>
      <c r="B12">
        <v>98489886</v>
      </c>
      <c r="C12">
        <v>5912.0380952381302</v>
      </c>
      <c r="D12">
        <v>826</v>
      </c>
      <c r="E12">
        <v>11.075200000000001</v>
      </c>
    </row>
    <row r="13" spans="1:5" x14ac:dyDescent="0.25">
      <c r="A13">
        <v>555</v>
      </c>
      <c r="B13">
        <v>68468208</v>
      </c>
      <c r="C13">
        <v>6003.1523809524197</v>
      </c>
      <c r="D13">
        <v>844</v>
      </c>
      <c r="E13">
        <v>11.6478</v>
      </c>
    </row>
    <row r="14" spans="1:5" x14ac:dyDescent="0.25">
      <c r="A14">
        <v>579</v>
      </c>
      <c r="B14">
        <v>68048468</v>
      </c>
      <c r="C14">
        <v>6094.2666666667101</v>
      </c>
      <c r="D14">
        <v>862</v>
      </c>
      <c r="E14">
        <v>12.220499999999999</v>
      </c>
    </row>
    <row r="15" spans="1:5" x14ac:dyDescent="0.25">
      <c r="A15">
        <v>604</v>
      </c>
      <c r="B15">
        <v>68406846</v>
      </c>
      <c r="C15">
        <v>6185.3809523810096</v>
      </c>
      <c r="D15">
        <v>880</v>
      </c>
      <c r="E15">
        <v>12.793100000000001</v>
      </c>
    </row>
    <row r="16" spans="1:5" x14ac:dyDescent="0.25">
      <c r="A16">
        <v>628</v>
      </c>
      <c r="B16">
        <v>64879465</v>
      </c>
      <c r="C16">
        <v>6276.4952380953</v>
      </c>
      <c r="D16">
        <v>898</v>
      </c>
      <c r="E16">
        <v>13.3658</v>
      </c>
    </row>
    <row r="17" spans="1:5" x14ac:dyDescent="0.25">
      <c r="A17">
        <v>653</v>
      </c>
      <c r="B17">
        <v>13546879</v>
      </c>
      <c r="C17">
        <v>6367.6095238095904</v>
      </c>
      <c r="D17">
        <v>916</v>
      </c>
      <c r="E17">
        <v>13.9384</v>
      </c>
    </row>
    <row r="18" spans="1:5" x14ac:dyDescent="0.25">
      <c r="A18">
        <v>677</v>
      </c>
      <c r="B18">
        <v>68468468</v>
      </c>
      <c r="C18">
        <v>6458.7238095238799</v>
      </c>
      <c r="D18">
        <v>934</v>
      </c>
      <c r="E18">
        <v>14.514099999999999</v>
      </c>
    </row>
    <row r="19" spans="1:5" x14ac:dyDescent="0.25">
      <c r="A19">
        <v>702</v>
      </c>
      <c r="B19">
        <v>46846844</v>
      </c>
      <c r="C19">
        <v>6549.8380952381704</v>
      </c>
      <c r="D19">
        <v>952</v>
      </c>
      <c r="E19">
        <v>15.0837</v>
      </c>
    </row>
    <row r="20" spans="1:5" x14ac:dyDescent="0.25">
      <c r="A20">
        <v>727</v>
      </c>
      <c r="B20">
        <v>98795465</v>
      </c>
      <c r="C20">
        <v>6640.9523809524599</v>
      </c>
      <c r="D20">
        <v>970</v>
      </c>
      <c r="E20">
        <v>15.6563</v>
      </c>
    </row>
    <row r="21" spans="1:5" x14ac:dyDescent="0.25">
      <c r="A21">
        <v>751</v>
      </c>
      <c r="B21">
        <v>13546887</v>
      </c>
      <c r="C21">
        <v>6732.0666666667503</v>
      </c>
      <c r="D21">
        <v>988</v>
      </c>
      <c r="E21">
        <v>16.227900000000002</v>
      </c>
    </row>
    <row r="22" spans="1:5" x14ac:dyDescent="0.25">
      <c r="A22">
        <v>776</v>
      </c>
      <c r="B22">
        <v>23546879</v>
      </c>
      <c r="C22">
        <v>6823.1809523810398</v>
      </c>
      <c r="D22">
        <v>1006</v>
      </c>
      <c r="E22">
        <v>16.801600000000001</v>
      </c>
    </row>
    <row r="23" spans="1:5" x14ac:dyDescent="0.25">
      <c r="A23">
        <v>800</v>
      </c>
      <c r="B23">
        <v>46213879</v>
      </c>
      <c r="C23">
        <v>6914.2952380953302</v>
      </c>
      <c r="D23">
        <v>1024</v>
      </c>
      <c r="E23">
        <v>17.374199999999998</v>
      </c>
    </row>
    <row r="24" spans="1:5" x14ac:dyDescent="0.25">
      <c r="A24">
        <v>825</v>
      </c>
      <c r="B24">
        <v>13554688</v>
      </c>
      <c r="C24">
        <v>7005.4095238096197</v>
      </c>
      <c r="D24">
        <v>1042</v>
      </c>
      <c r="E24">
        <v>17.946899999999999</v>
      </c>
    </row>
    <row r="25" spans="1:5" x14ac:dyDescent="0.25">
      <c r="A25">
        <v>849</v>
      </c>
      <c r="B25">
        <v>23213549</v>
      </c>
      <c r="C25">
        <v>7096.5238095239101</v>
      </c>
      <c r="D25">
        <v>1060</v>
      </c>
      <c r="E25">
        <v>18.519500000000001</v>
      </c>
    </row>
    <row r="26" spans="1:5" x14ac:dyDescent="0.25">
      <c r="A26">
        <v>874</v>
      </c>
      <c r="B26">
        <v>21354987</v>
      </c>
      <c r="C26">
        <v>7187.6380952381996</v>
      </c>
      <c r="D26">
        <v>1078</v>
      </c>
      <c r="E26">
        <v>19.092199999999998</v>
      </c>
    </row>
    <row r="27" spans="1:5" x14ac:dyDescent="0.25">
      <c r="A27">
        <v>898</v>
      </c>
      <c r="B27">
        <v>23154987</v>
      </c>
      <c r="C27">
        <v>7278.7523809524901</v>
      </c>
      <c r="D27">
        <v>1096</v>
      </c>
      <c r="E27">
        <v>19.6648</v>
      </c>
    </row>
    <row r="28" spans="1:5" x14ac:dyDescent="0.25">
      <c r="A28">
        <v>923</v>
      </c>
      <c r="B28">
        <v>21549879</v>
      </c>
      <c r="C28">
        <v>7369.8666666667796</v>
      </c>
      <c r="D28">
        <v>1114</v>
      </c>
      <c r="E28">
        <v>20.237400000000001</v>
      </c>
    </row>
    <row r="29" spans="1:5" x14ac:dyDescent="0.25">
      <c r="A29">
        <v>947</v>
      </c>
      <c r="B29">
        <v>52468798</v>
      </c>
      <c r="C29">
        <v>7460.98095238107</v>
      </c>
      <c r="D29">
        <v>1132</v>
      </c>
      <c r="E29">
        <v>20.810099999999998</v>
      </c>
    </row>
    <row r="30" spans="1:5" x14ac:dyDescent="0.25">
      <c r="A30">
        <v>972</v>
      </c>
      <c r="B30">
        <v>52246878</v>
      </c>
      <c r="C30">
        <v>7552.0952380953604</v>
      </c>
      <c r="D30">
        <v>1150</v>
      </c>
      <c r="E30">
        <v>21.3827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Belinda florez</dc:creator>
  <cp:lastModifiedBy>Belinda florez</cp:lastModifiedBy>
  <dcterms:created xsi:type="dcterms:W3CDTF">2024-11-04T14:51:01Z</dcterms:created>
  <dcterms:modified xsi:type="dcterms:W3CDTF">2024-11-07T19:44:02Z</dcterms:modified>
</cp:coreProperties>
</file>